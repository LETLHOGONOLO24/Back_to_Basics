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Week_2\"/>
    </mc:Choice>
  </mc:AlternateContent>
  <xr:revisionPtr revIDLastSave="0" documentId="8_{C7DE276C-E2C9-4E87-82BF-DD8121F37AB2}" xr6:coauthVersionLast="47" xr6:coauthVersionMax="47" xr10:uidLastSave="{00000000-0000-0000-0000-000000000000}"/>
  <bookViews>
    <workbookView xWindow="-108" yWindow="-108" windowWidth="23256" windowHeight="12456" xr2:uid="{35103F9D-3BA7-4C50-B0AD-9BF68809AE7B}"/>
  </bookViews>
  <sheets>
    <sheet name="performance_day8 (2)" sheetId="3" r:id="rId1"/>
    <sheet name="Sheet1" sheetId="1" r:id="rId2"/>
  </sheets>
  <definedNames>
    <definedName name="ExternalData_1" localSheetId="0" hidden="1">'performance_day8 (2)'!$A$1:$F$7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I3" i="3"/>
  <c r="I2" i="3"/>
  <c r="I4" i="3"/>
  <c r="I5" i="3"/>
  <c r="I6" i="3"/>
  <c r="I7" i="3"/>
  <c r="H2" i="3"/>
  <c r="H3" i="3"/>
  <c r="H4" i="3"/>
  <c r="H5" i="3"/>
  <c r="K5" i="3" s="1"/>
  <c r="H6" i="3"/>
  <c r="H7" i="3"/>
  <c r="G2" i="3"/>
  <c r="G3" i="3"/>
  <c r="G4" i="3"/>
  <c r="G5" i="3"/>
  <c r="G6" i="3"/>
  <c r="G7" i="3"/>
  <c r="K2" i="3" l="1"/>
  <c r="L2" i="3" s="1"/>
  <c r="K4" i="3"/>
  <c r="L4" i="3" s="1"/>
  <c r="J3" i="3"/>
  <c r="K3" i="3"/>
  <c r="L3" i="3" s="1"/>
  <c r="J7" i="3"/>
  <c r="J6" i="3"/>
  <c r="J5" i="3"/>
  <c r="L5" i="3" s="1"/>
  <c r="K7" i="3"/>
  <c r="L7" i="3" s="1"/>
  <c r="K6" i="3"/>
  <c r="L6" i="3" s="1"/>
  <c r="J2" i="3"/>
  <c r="J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F3D3AB-F3AA-4892-BE8C-197289D56FA0}" keepAlive="1" name="Query - performance_day8" description="Connection to the 'performance_day8' query in the workbook." type="5" refreshedVersion="0" background="1">
    <dbPr connection="Provider=Microsoft.Mashup.OleDb.1;Data Source=$Workbook$;Location=performance_day8;Extended Properties=&quot;&quot;" command="SELECT * FROM [performance_day8]"/>
  </connection>
  <connection id="2" xr16:uid="{5DB434C2-D137-4C74-911E-B795855205DB}" keepAlive="1" name="Query - performance_day8 (2)" description="Connection to the 'performance_day8 (2)' query in the workbook." type="5" refreshedVersion="8" background="1" saveData="1">
    <dbPr connection="Provider=Microsoft.Mashup.OleDb.1;Data Source=$Workbook$;Location=&quot;performance_day8 (2)&quot;;Extended Properties=&quot;&quot;" command="SELECT * FROM [performance_day8 (2)]"/>
  </connection>
</connections>
</file>

<file path=xl/sharedStrings.xml><?xml version="1.0" encoding="utf-8"?>
<sst xmlns="http://schemas.openxmlformats.org/spreadsheetml/2006/main" count="27" uniqueCount="22">
  <si>
    <t>employee_id</t>
  </si>
  <si>
    <t>employee_name</t>
  </si>
  <si>
    <t>department</t>
  </si>
  <si>
    <t>units_processed</t>
  </si>
  <si>
    <t>errors_made</t>
  </si>
  <si>
    <t>avg_processing_time</t>
  </si>
  <si>
    <t>Thabo</t>
  </si>
  <si>
    <t>Sales</t>
  </si>
  <si>
    <t>Naledi</t>
  </si>
  <si>
    <t>Amara</t>
  </si>
  <si>
    <t>Operations</t>
  </si>
  <si>
    <t>Kabelo</t>
  </si>
  <si>
    <t>Lerato</t>
  </si>
  <si>
    <t>Sipho</t>
  </si>
  <si>
    <t>error_rate</t>
  </si>
  <si>
    <t>Column1</t>
  </si>
  <si>
    <t>speed_score</t>
  </si>
  <si>
    <t>units_norm</t>
  </si>
  <si>
    <t>error_norm</t>
  </si>
  <si>
    <t>speed_norm</t>
  </si>
  <si>
    <t>composite_score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</si>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</sst>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'performance_day8 (2)'!$L$1</c:f>
              <c:strCache>
                <c:ptCount val="1"/>
                <c:pt idx="0">
                  <c:v>composite_score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'performance_day8 (2)'!$B$2:$B$7</c:f>
              <c:strCache>
                <c:ptCount val="6"/>
                <c:pt idx="0">
                  <c:v>Thabo</c:v>
                </c:pt>
                <c:pt idx="1">
                  <c:v>Naledi</c:v>
                </c:pt>
                <c:pt idx="2">
                  <c:v>Amara</c:v>
                </c:pt>
                <c:pt idx="3">
                  <c:v>Kabelo</c:v>
                </c:pt>
                <c:pt idx="4">
                  <c:v>Lerato</c:v>
                </c:pt>
                <c:pt idx="5">
                  <c:v>Sipho</c:v>
                </c:pt>
              </c:strCache>
            </c:strRef>
          </c:cat>
          <c:val>
            <c:numRef>
              <c:f>'performance_day8 (2)'!$L$2:$L$7</c:f>
              <c:numCache>
                <c:formatCode>General</c:formatCode>
                <c:ptCount val="6"/>
                <c:pt idx="0">
                  <c:v>0.34196959036898056</c:v>
                </c:pt>
                <c:pt idx="1">
                  <c:v>0</c:v>
                </c:pt>
                <c:pt idx="2">
                  <c:v>0.91316978962128692</c:v>
                </c:pt>
                <c:pt idx="3">
                  <c:v>0.88888888888888884</c:v>
                </c:pt>
                <c:pt idx="4">
                  <c:v>0.4666946224628063</c:v>
                </c:pt>
                <c:pt idx="5">
                  <c:v>0.65659612163787673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7-427D-A2DB-ED96FDAE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6261791"/>
        <c:axId val="1256260831"/>
      </c:barChart>
      <c:catAx>
        <c:axId val="125626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60831"/>
        <c:crosses val="autoZero"/>
        <c:auto val="1"/>
        <c:lblAlgn val="ctr"/>
        <c:lblOffset val="100"/>
        <c:noMultiLvlLbl val="0"/>
      </c:catAx>
      <c:valAx>
        <c:axId val="12562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6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8</xdr:row>
      <xdr:rowOff>125730</xdr:rowOff>
    </xdr:from>
    <xdr:to>
      <xdr:col>4</xdr:col>
      <xdr:colOff>838200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D52BD-0E71-E963-BAB0-952D4F986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B31394-5926-4003-A3CA-8EE44AEC52AB}" autoFormatId="16" applyNumberFormats="0" applyBorderFormats="0" applyFontFormats="0" applyPatternFormats="0" applyAlignmentFormats="0" applyWidthHeightFormats="0">
  <queryTableRefresh nextId="14" unboundColumnsRight="7">
    <queryTableFields count="13">
      <queryTableField id="1" name="employee_id" tableColumnId="1"/>
      <queryTableField id="2" name="employee_name" tableColumnId="2"/>
      <queryTableField id="3" name="department" tableColumnId="3"/>
      <queryTableField id="4" name="units_processed" tableColumnId="4"/>
      <queryTableField id="5" name="errors_made" tableColumnId="5"/>
      <queryTableField id="6" name="avg_processing_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E52C98-8E31-4567-8784-BF6AAC33EFA0}" name="performance_day8__2" displayName="performance_day8__2" ref="A1:M7" tableType="queryTable" totalsRowShown="0">
  <autoFilter ref="A1:M7" xr:uid="{71E52C98-8E31-4567-8784-BF6AAC33EFA0}"/>
  <tableColumns count="13">
    <tableColumn id="1" xr3:uid="{CD8629D5-E47E-40AB-A107-746C6FDA430B}" uniqueName="1" name="employee_id" queryTableFieldId="1"/>
    <tableColumn id="2" xr3:uid="{FDF6131D-EA23-4DA6-AD80-6920C9F66A62}" uniqueName="2" name="employee_name" queryTableFieldId="2" dataDxfId="9"/>
    <tableColumn id="3" xr3:uid="{D890C305-EECD-4FA8-BAEF-96875006DB07}" uniqueName="3" name="department" queryTableFieldId="3" dataDxfId="8"/>
    <tableColumn id="4" xr3:uid="{FD2A4F09-0FA3-4C1B-8338-0BD6D40432EA}" uniqueName="4" name="units_processed" queryTableFieldId="4"/>
    <tableColumn id="5" xr3:uid="{7C2C4AAC-7D90-4B03-9EC2-14D24CD7AE6C}" uniqueName="5" name="errors_made" queryTableFieldId="5"/>
    <tableColumn id="6" xr3:uid="{84E7AA01-E52F-4E43-B6B5-D0FB0290D3C2}" uniqueName="6" name="avg_processing_time" queryTableFieldId="6" dataDxfId="7"/>
    <tableColumn id="7" xr3:uid="{4FBAF3ED-DA2E-4ECC-9F15-49FFF0C35006}" uniqueName="7" name="error_rate" queryTableFieldId="7" dataDxfId="6">
      <calculatedColumnFormula>E2/D2</calculatedColumnFormula>
    </tableColumn>
    <tableColumn id="8" xr3:uid="{F4F06386-9D58-49EA-A17F-746624966312}" uniqueName="8" name="speed_score" queryTableFieldId="8" dataDxfId="5">
      <calculatedColumnFormula>1/F2</calculatedColumnFormula>
    </tableColumn>
    <tableColumn id="9" xr3:uid="{A3367C5D-5FAE-44BD-922D-74BA6C682A48}" uniqueName="9" name="units_norm" queryTableFieldId="9" dataDxfId="2">
      <calculatedColumnFormula>(D2-MIN($D$2:$D$7))/(MAX($D$2:$D$7)-MIN($D$2:$D$7))</calculatedColumnFormula>
    </tableColumn>
    <tableColumn id="10" xr3:uid="{134C720A-406C-4FD1-95F8-223D437572D6}" uniqueName="10" name="error_norm" queryTableFieldId="10" dataDxfId="1">
      <calculatedColumnFormula>(G2-MIN($G$2:$G$7))/(MAX($G$2:$G$7)-MIN($G$2:$G$7))</calculatedColumnFormula>
    </tableColumn>
    <tableColumn id="11" xr3:uid="{7A9BEC03-8EB2-4614-AABF-9D874DE4DA3B}" uniqueName="11" name="speed_norm" queryTableFieldId="11" dataDxfId="0">
      <calculatedColumnFormula>(H2-MIN($H$2:$H$7))/(MAX($H$2:$H$7)-MIN($H$2:$H$7))</calculatedColumnFormula>
    </tableColumn>
    <tableColumn id="12" xr3:uid="{6CFE6597-4446-4504-93A4-C8C7DC958749}" uniqueName="12" name="composite_score" queryTableFieldId="12" dataDxfId="4">
      <calculatedColumnFormula>(0.5*I2)+(0.3*K2)+(0.2*(1-J2))</calculatedColumnFormula>
    </tableColumn>
    <tableColumn id="13" xr3:uid="{16063308-E2E2-42AF-B55E-1A3B3F1FABB9}" uniqueName="13" name="rank" queryTableFieldId="13" dataDxfId="3">
      <calculatedColumnFormula>_xlfn.RANK.EQ(L2, $L$2:$L$7)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9EC6-68F3-4644-A02B-5A810E38656D}">
  <dimension ref="A1:M7"/>
  <sheetViews>
    <sheetView tabSelected="1" workbookViewId="0">
      <selection activeCell="J11" sqref="J11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  <col min="4" max="4" width="16.88671875" bestFit="1" customWidth="1"/>
    <col min="5" max="5" width="13.6640625" bestFit="1" customWidth="1"/>
    <col min="6" max="6" width="2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3">
      <c r="A2">
        <v>1</v>
      </c>
      <c r="B2" s="1" t="s">
        <v>6</v>
      </c>
      <c r="C2" s="1" t="s">
        <v>7</v>
      </c>
      <c r="D2">
        <v>260</v>
      </c>
      <c r="E2">
        <v>5</v>
      </c>
      <c r="F2" s="1">
        <v>4.2</v>
      </c>
      <c r="G2" s="1">
        <f t="shared" ref="G2:G7" si="0">E2/D2</f>
        <v>1.9230769230769232E-2</v>
      </c>
      <c r="H2" s="1">
        <f t="shared" ref="H2:H7" si="1">1/F2</f>
        <v>0.23809523809523808</v>
      </c>
      <c r="I2" s="1">
        <f t="shared" ref="I2:I7" si="2">(D2-MIN($D$2:$D$7))/(MAX($D$2:$D$7)-MIN($D$2:$D$7))</f>
        <v>0.16666666666666666</v>
      </c>
      <c r="J2">
        <f t="shared" ref="J2:J7" si="3">(G2-MIN($G$2:$G$7))/(MAX($G$2:$G$7)-MIN($G$2:$G$7))</f>
        <v>0.40994371482176362</v>
      </c>
      <c r="K2">
        <f t="shared" ref="K2:K7" si="4">(H2-MIN($H$2:$H$7))/(MAX($H$2:$H$7)-MIN($H$2:$H$7))</f>
        <v>0.46874999999999978</v>
      </c>
      <c r="L2">
        <f t="shared" ref="L2:L7" si="5">(0.5*I2)+(0.3*K2)+(0.2*(1-J2))</f>
        <v>0.34196959036898056</v>
      </c>
      <c r="M2">
        <f t="shared" ref="M2:M7" si="6">_xlfn.RANK.EQ(L2, $L$2:$L$7)</f>
        <v>5</v>
      </c>
    </row>
    <row r="3" spans="1:13" x14ac:dyDescent="0.3">
      <c r="A3">
        <v>2</v>
      </c>
      <c r="B3" s="1" t="s">
        <v>8</v>
      </c>
      <c r="C3" s="1" t="s">
        <v>7</v>
      </c>
      <c r="D3">
        <v>230</v>
      </c>
      <c r="E3">
        <v>9</v>
      </c>
      <c r="F3" s="1">
        <v>5.0999999999999996</v>
      </c>
      <c r="G3" s="1">
        <f t="shared" si="0"/>
        <v>3.9130434782608699E-2</v>
      </c>
      <c r="H3" s="1">
        <f t="shared" si="1"/>
        <v>0.19607843137254904</v>
      </c>
      <c r="I3" s="1">
        <f t="shared" si="2"/>
        <v>0</v>
      </c>
      <c r="J3" s="1">
        <f t="shared" si="3"/>
        <v>1</v>
      </c>
      <c r="K3" s="1">
        <f t="shared" si="4"/>
        <v>0</v>
      </c>
      <c r="L3" s="1">
        <f t="shared" si="5"/>
        <v>0</v>
      </c>
      <c r="M3" s="1">
        <f t="shared" si="6"/>
        <v>6</v>
      </c>
    </row>
    <row r="4" spans="1:13" x14ac:dyDescent="0.3">
      <c r="A4">
        <v>3</v>
      </c>
      <c r="B4" s="1" t="s">
        <v>9</v>
      </c>
      <c r="C4" s="1" t="s">
        <v>10</v>
      </c>
      <c r="D4">
        <v>410</v>
      </c>
      <c r="E4">
        <v>3</v>
      </c>
      <c r="F4" s="1">
        <v>3.8</v>
      </c>
      <c r="G4" s="1">
        <f t="shared" si="0"/>
        <v>7.3170731707317077E-3</v>
      </c>
      <c r="H4" s="1">
        <f t="shared" si="1"/>
        <v>0.26315789473684209</v>
      </c>
      <c r="I4" s="1">
        <f t="shared" si="2"/>
        <v>1</v>
      </c>
      <c r="J4" s="1">
        <f t="shared" si="3"/>
        <v>5.6683946630407073E-2</v>
      </c>
      <c r="K4" s="1">
        <f t="shared" si="4"/>
        <v>0.74835526315789469</v>
      </c>
      <c r="L4" s="1">
        <f t="shared" si="5"/>
        <v>0.91316978962128692</v>
      </c>
      <c r="M4" s="1">
        <f t="shared" si="6"/>
        <v>1</v>
      </c>
    </row>
    <row r="5" spans="1:13" x14ac:dyDescent="0.3">
      <c r="A5">
        <v>4</v>
      </c>
      <c r="B5" s="1" t="s">
        <v>11</v>
      </c>
      <c r="C5" s="1" t="s">
        <v>10</v>
      </c>
      <c r="D5">
        <v>370</v>
      </c>
      <c r="E5">
        <v>2</v>
      </c>
      <c r="F5" s="1">
        <v>3.5</v>
      </c>
      <c r="G5" s="1">
        <f t="shared" si="0"/>
        <v>5.4054054054054057E-3</v>
      </c>
      <c r="H5" s="1">
        <f t="shared" si="1"/>
        <v>0.2857142857142857</v>
      </c>
      <c r="I5" s="1">
        <f t="shared" si="2"/>
        <v>0.77777777777777779</v>
      </c>
      <c r="J5" s="1">
        <f t="shared" si="3"/>
        <v>0</v>
      </c>
      <c r="K5" s="1">
        <f t="shared" si="4"/>
        <v>1</v>
      </c>
      <c r="L5" s="1">
        <f t="shared" si="5"/>
        <v>0.88888888888888884</v>
      </c>
      <c r="M5" s="1">
        <f t="shared" si="6"/>
        <v>2</v>
      </c>
    </row>
    <row r="6" spans="1:13" x14ac:dyDescent="0.3">
      <c r="A6">
        <v>5</v>
      </c>
      <c r="B6" s="1" t="s">
        <v>12</v>
      </c>
      <c r="C6" s="1" t="s">
        <v>7</v>
      </c>
      <c r="D6">
        <v>280</v>
      </c>
      <c r="E6">
        <v>4</v>
      </c>
      <c r="F6" s="1">
        <v>4</v>
      </c>
      <c r="G6" s="1">
        <f t="shared" si="0"/>
        <v>1.4285714285714285E-2</v>
      </c>
      <c r="H6" s="1">
        <f t="shared" si="1"/>
        <v>0.25</v>
      </c>
      <c r="I6" s="1">
        <f t="shared" si="2"/>
        <v>0.27777777777777779</v>
      </c>
      <c r="J6" s="1">
        <f t="shared" si="3"/>
        <v>0.2633150821304131</v>
      </c>
      <c r="K6" s="1">
        <f t="shared" si="4"/>
        <v>0.6015625</v>
      </c>
      <c r="L6" s="1">
        <f t="shared" si="5"/>
        <v>0.4666946224628063</v>
      </c>
      <c r="M6" s="1">
        <f t="shared" si="6"/>
        <v>4</v>
      </c>
    </row>
    <row r="7" spans="1:13" x14ac:dyDescent="0.3">
      <c r="A7">
        <v>6</v>
      </c>
      <c r="B7" s="1" t="s">
        <v>13</v>
      </c>
      <c r="C7" s="1" t="s">
        <v>10</v>
      </c>
      <c r="D7">
        <v>390</v>
      </c>
      <c r="E7">
        <v>6</v>
      </c>
      <c r="F7" s="1">
        <v>4.5999999999999996</v>
      </c>
      <c r="G7" s="1">
        <f t="shared" si="0"/>
        <v>1.5384615384615385E-2</v>
      </c>
      <c r="H7" s="1">
        <f t="shared" si="1"/>
        <v>0.21739130434782611</v>
      </c>
      <c r="I7" s="1">
        <f t="shared" si="2"/>
        <v>0.88888888888888884</v>
      </c>
      <c r="J7" s="1">
        <f t="shared" si="3"/>
        <v>0.29589922272849101</v>
      </c>
      <c r="K7" s="1">
        <f t="shared" si="4"/>
        <v>0.23777173913043487</v>
      </c>
      <c r="L7" s="1">
        <f t="shared" si="5"/>
        <v>0.65659612163787673</v>
      </c>
      <c r="M7" s="1">
        <f t="shared" si="6"/>
        <v>3</v>
      </c>
    </row>
  </sheetData>
  <conditionalFormatting sqref="L1:L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{48B51BD1-319B-4FC7-BB34-0D4014D4A9DA}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B51BD1-319B-4FC7-BB34-0D4014D4A9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L1:L7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53E6-A4DE-4086-A9DC-CF5EFF6083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B7A1F-0E1D-4D52-9B9B-464347A87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performance_day8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2026-01-24T21:02:42Z</dcterms:created>
  <dcterms:modified xsi:type="dcterms:W3CDTF">2026-01-24T21:39:13Z</dcterms:modified>
</cp:coreProperties>
</file>