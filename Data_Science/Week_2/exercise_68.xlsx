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OGIZNBUCKS\Downloads\Back_to_Basics\Data_Science\Week_2\"/>
    </mc:Choice>
  </mc:AlternateContent>
  <xr:revisionPtr revIDLastSave="0" documentId="8_{362CFE61-7FF0-4D3D-B0DD-4B6029E4CFA3}" xr6:coauthVersionLast="47" xr6:coauthVersionMax="47" xr10:uidLastSave="{00000000-0000-0000-0000-000000000000}"/>
  <bookViews>
    <workbookView xWindow="-108" yWindow="-108" windowWidth="23256" windowHeight="12456" xr2:uid="{48DA4A5B-781A-4E17-BF9A-2594D1A28C15}"/>
  </bookViews>
  <sheets>
    <sheet name="performance_day10" sheetId="2" r:id="rId1"/>
    <sheet name="Sheet1" sheetId="1" r:id="rId2"/>
  </sheets>
  <definedNames>
    <definedName name="ExternalData_1" localSheetId="0" hidden="1">performance_day10!$A$1:$F$9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2" l="1"/>
  <c r="B18" i="2"/>
  <c r="B17" i="2"/>
  <c r="C15" i="2"/>
  <c r="C14" i="2"/>
  <c r="C13" i="2" a="1"/>
  <c r="C13" i="2" s="1"/>
  <c r="C12" i="2"/>
  <c r="B15" i="2"/>
  <c r="B14" i="2"/>
  <c r="B13" i="2" a="1"/>
  <c r="B13" i="2"/>
  <c r="B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C2A955-D07A-4DFA-953A-1E06B66FAE51}" keepAlive="1" name="Query - performance_day10" description="Connection to the 'performance_day10' query in the workbook." type="5" refreshedVersion="8" background="1" saveData="1">
    <dbPr connection="Provider=Microsoft.Mashup.OleDb.1;Data Source=$Workbook$;Location=performance_day10;Extended Properties=&quot;&quot;" command="SELECT * FROM [performance_day1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<sst xmlns="http://schemas.openxmlformats.org/spreadsheetml/2006/main" count="31" uniqueCount="23">
  <si>
    <t>employee_id</t>
  </si>
  <si>
    <t>employee_name</t>
  </si>
  <si>
    <t>department</t>
  </si>
  <si>
    <t>units_processed</t>
  </si>
  <si>
    <t>errors_made</t>
  </si>
  <si>
    <t>avg_processing_time</t>
  </si>
  <si>
    <t>Thabo</t>
  </si>
  <si>
    <t>Sales</t>
  </si>
  <si>
    <t>Naledi</t>
  </si>
  <si>
    <t>Lerato</t>
  </si>
  <si>
    <t>Amara</t>
  </si>
  <si>
    <t>Operations</t>
  </si>
  <si>
    <t>Kabelo</t>
  </si>
  <si>
    <t>Sipho</t>
  </si>
  <si>
    <t>Zanele</t>
  </si>
  <si>
    <t>Mpho</t>
  </si>
  <si>
    <t>Mean</t>
  </si>
  <si>
    <t>Standard deviation</t>
  </si>
  <si>
    <t>Count</t>
  </si>
  <si>
    <t>Standard Error</t>
  </si>
  <si>
    <t>T-Score</t>
  </si>
  <si>
    <t>Margin of Error for Sales</t>
  </si>
  <si>
    <t>Margin of Error for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</si>
</sst>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CDF8C0-453D-4232-A9D2-23082FCA17D3}" autoFormatId="16" applyNumberFormats="0" applyBorderFormats="0" applyFontFormats="0" applyPatternFormats="0" applyAlignmentFormats="0" applyWidthHeightFormats="0">
  <queryTableRefresh nextId="7">
    <queryTableFields count="6">
      <queryTableField id="1" name="employee_id" tableColumnId="1"/>
      <queryTableField id="2" name="employee_name" tableColumnId="2"/>
      <queryTableField id="3" name="department" tableColumnId="3"/>
      <queryTableField id="4" name="units_processed" tableColumnId="4"/>
      <queryTableField id="5" name="errors_made" tableColumnId="5"/>
      <queryTableField id="6" name="avg_processing_ti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95CCD-AF5F-45D3-BC1A-675EA2E7A744}" name="performance_day10" displayName="performance_day10" ref="A1:F9" tableType="queryTable" totalsRowShown="0">
  <autoFilter ref="A1:F9" xr:uid="{24795CCD-AF5F-45D3-BC1A-675EA2E7A744}"/>
  <tableColumns count="6">
    <tableColumn id="1" xr3:uid="{7ABDBEC4-37B3-4A36-B251-1E19E83CD01A}" uniqueName="1" name="employee_id" queryTableFieldId="1"/>
    <tableColumn id="2" xr3:uid="{5C8A06B3-E106-4E01-919E-4BE2134C738F}" uniqueName="2" name="employee_name" queryTableFieldId="2" dataDxfId="2"/>
    <tableColumn id="3" xr3:uid="{EC28BD64-CCC4-4703-8DC5-4D5AA936F880}" uniqueName="3" name="department" queryTableFieldId="3" dataDxfId="1"/>
    <tableColumn id="4" xr3:uid="{5CE610C4-3352-4BFC-A749-0D7398B89CEA}" uniqueName="4" name="units_processed" queryTableFieldId="4"/>
    <tableColumn id="5" xr3:uid="{0C308499-7D48-40A8-BBCD-0D2F7C4AE503}" uniqueName="5" name="errors_made" queryTableFieldId="5"/>
    <tableColumn id="6" xr3:uid="{BEC18B7B-E694-4AE9-AEEA-178D9FC4C8D8}" uniqueName="6" name="avg_processing_tim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E823-7048-4959-BC8F-9BCDDC153B6D}">
  <dimension ref="A1:F22"/>
  <sheetViews>
    <sheetView tabSelected="1" topLeftCell="A9" workbookViewId="0">
      <selection activeCell="A25" sqref="A25"/>
    </sheetView>
  </sheetViews>
  <sheetFormatPr defaultRowHeight="14.4" x14ac:dyDescent="0.3"/>
  <cols>
    <col min="1" max="1" width="13.88671875" bestFit="1" customWidth="1"/>
    <col min="2" max="2" width="17" bestFit="1" customWidth="1"/>
    <col min="3" max="3" width="13.109375" bestFit="1" customWidth="1"/>
    <col min="4" max="4" width="16.88671875" bestFit="1" customWidth="1"/>
    <col min="5" max="5" width="13.6640625" bestFit="1" customWidth="1"/>
    <col min="6" max="6" width="2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 t="s">
        <v>6</v>
      </c>
      <c r="C2" s="1" t="s">
        <v>7</v>
      </c>
      <c r="D2">
        <v>260</v>
      </c>
      <c r="E2">
        <v>5</v>
      </c>
      <c r="F2" s="1">
        <v>4.2</v>
      </c>
    </row>
    <row r="3" spans="1:6" x14ac:dyDescent="0.3">
      <c r="A3">
        <v>2</v>
      </c>
      <c r="B3" s="1" t="s">
        <v>8</v>
      </c>
      <c r="C3" s="1" t="s">
        <v>7</v>
      </c>
      <c r="D3">
        <v>230</v>
      </c>
      <c r="E3">
        <v>9</v>
      </c>
      <c r="F3" s="1">
        <v>5.0999999999999996</v>
      </c>
    </row>
    <row r="4" spans="1:6" x14ac:dyDescent="0.3">
      <c r="A4">
        <v>3</v>
      </c>
      <c r="B4" s="1" t="s">
        <v>9</v>
      </c>
      <c r="C4" s="1" t="s">
        <v>7</v>
      </c>
      <c r="D4">
        <v>280</v>
      </c>
      <c r="E4">
        <v>4</v>
      </c>
      <c r="F4" s="1">
        <v>4</v>
      </c>
    </row>
    <row r="5" spans="1:6" x14ac:dyDescent="0.3">
      <c r="A5">
        <v>4</v>
      </c>
      <c r="B5" s="1" t="s">
        <v>10</v>
      </c>
      <c r="C5" s="1" t="s">
        <v>11</v>
      </c>
      <c r="D5">
        <v>410</v>
      </c>
      <c r="E5">
        <v>3</v>
      </c>
      <c r="F5" s="1">
        <v>3.8</v>
      </c>
    </row>
    <row r="6" spans="1:6" x14ac:dyDescent="0.3">
      <c r="A6">
        <v>5</v>
      </c>
      <c r="B6" s="1" t="s">
        <v>12</v>
      </c>
      <c r="C6" s="1" t="s">
        <v>11</v>
      </c>
      <c r="D6">
        <v>370</v>
      </c>
      <c r="E6">
        <v>2</v>
      </c>
      <c r="F6" s="1">
        <v>3.5</v>
      </c>
    </row>
    <row r="7" spans="1:6" x14ac:dyDescent="0.3">
      <c r="A7">
        <v>6</v>
      </c>
      <c r="B7" s="1" t="s">
        <v>13</v>
      </c>
      <c r="C7" s="1" t="s">
        <v>11</v>
      </c>
      <c r="D7">
        <v>390</v>
      </c>
      <c r="E7">
        <v>6</v>
      </c>
      <c r="F7" s="1">
        <v>4.5999999999999996</v>
      </c>
    </row>
    <row r="8" spans="1:6" x14ac:dyDescent="0.3">
      <c r="A8">
        <v>7</v>
      </c>
      <c r="B8" s="1" t="s">
        <v>14</v>
      </c>
      <c r="C8" s="1" t="s">
        <v>11</v>
      </c>
      <c r="D8">
        <v>360</v>
      </c>
      <c r="E8">
        <v>4</v>
      </c>
      <c r="F8" s="1">
        <v>3.9</v>
      </c>
    </row>
    <row r="9" spans="1:6" x14ac:dyDescent="0.3">
      <c r="A9">
        <v>8</v>
      </c>
      <c r="B9" s="1" t="s">
        <v>15</v>
      </c>
      <c r="C9" s="1" t="s">
        <v>7</v>
      </c>
      <c r="D9">
        <v>250</v>
      </c>
      <c r="E9">
        <v>6</v>
      </c>
      <c r="F9" s="1">
        <v>4.4000000000000004</v>
      </c>
    </row>
    <row r="11" spans="1:6" x14ac:dyDescent="0.3">
      <c r="A11" s="3" t="s">
        <v>7</v>
      </c>
      <c r="C11" s="3" t="s">
        <v>11</v>
      </c>
    </row>
    <row r="12" spans="1:6" x14ac:dyDescent="0.3">
      <c r="A12" t="s">
        <v>16</v>
      </c>
      <c r="B12">
        <f>AVERAGEIF(C2:C9, "Sales", F2:F9)</f>
        <v>4.4250000000000007</v>
      </c>
      <c r="C12">
        <f>AVERAGEIF(C2:C9, "Operations", F2:F9)</f>
        <v>3.9499999999999997</v>
      </c>
    </row>
    <row r="13" spans="1:6" ht="28.8" x14ac:dyDescent="0.3">
      <c r="A13" s="2" t="s">
        <v>17</v>
      </c>
      <c r="B13" cm="1">
        <f t="array" ref="B13">_xlfn.STDEV.S(_xlfn._xlws.FILTER(F2:F9, C2:C9="Sales"))</f>
        <v>0.47871355387816883</v>
      </c>
      <c r="C13" cm="1">
        <f t="array" ref="C13">_xlfn.STDEV.S(_xlfn._xlws.FILTER(F2:F9, C2:C9="Operations"))</f>
        <v>0.46547466812563343</v>
      </c>
    </row>
    <row r="14" spans="1:6" x14ac:dyDescent="0.3">
      <c r="A14" t="s">
        <v>18</v>
      </c>
      <c r="B14">
        <f>COUNTIF(C2:C9, "Sales")</f>
        <v>4</v>
      </c>
      <c r="C14">
        <f>COUNTIF(C2:C9, "Operations")</f>
        <v>4</v>
      </c>
    </row>
    <row r="15" spans="1:6" x14ac:dyDescent="0.3">
      <c r="A15" t="s">
        <v>19</v>
      </c>
      <c r="B15">
        <f>B13 / SQRT(B14)</f>
        <v>0.23935677693908441</v>
      </c>
      <c r="C15">
        <f>C13 / SQRT(C14)</f>
        <v>0.23273733406281671</v>
      </c>
    </row>
    <row r="17" spans="1:2" x14ac:dyDescent="0.3">
      <c r="A17" s="3" t="s">
        <v>20</v>
      </c>
      <c r="B17">
        <f>_xlfn.T.INV.2T(0.05, 3)</f>
        <v>3.1824463052837091</v>
      </c>
    </row>
    <row r="18" spans="1:2" ht="28.8" x14ac:dyDescent="0.3">
      <c r="A18" s="2" t="s">
        <v>21</v>
      </c>
      <c r="B18">
        <f>B17*B15</f>
        <v>0.76174009041440605</v>
      </c>
    </row>
    <row r="19" spans="1:2" ht="28.8" x14ac:dyDescent="0.3">
      <c r="A19" s="2" t="s">
        <v>22</v>
      </c>
      <c r="B19">
        <f>B17*C15</f>
        <v>0.74067406888979137</v>
      </c>
    </row>
    <row r="21" spans="1:2" x14ac:dyDescent="0.3">
      <c r="A21" s="2"/>
    </row>
    <row r="22" spans="1:2" x14ac:dyDescent="0.3">
      <c r="A22" s="2"/>
    </row>
  </sheetData>
  <pageMargins left="0.7" right="0.7" top="0.75" bottom="0.75" header="0.3" footer="0.3"/>
  <ignoredErrors>
    <ignoredError sqref="B12" evalError="1"/>
  </ignoredErrors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4CE02-2B08-4543-ADE3-F5A255B6B9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E4E546-C781-4542-B729-46C9A75C5B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performance_day10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Letlhogonolo Chauke</dc:creator>
  <cp:lastModifiedBy>Letlhogonolo Chauke</cp:lastModifiedBy>
  <dcterms:created xsi:type="dcterms:W3CDTF">2026-02-05T19:10:21Z</dcterms:created>
  <dcterms:modified xsi:type="dcterms:W3CDTF">2026-02-05T19:58:57Z</dcterms:modified>
</cp:coreProperties>
</file>