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GIZNBUCKS\Downloads\Back_to_Basics\Data_Science\"/>
    </mc:Choice>
  </mc:AlternateContent>
  <xr:revisionPtr revIDLastSave="0" documentId="8_{5CCC446E-8302-4471-9282-0BCB5F798C64}" xr6:coauthVersionLast="47" xr6:coauthVersionMax="47" xr10:uidLastSave="{00000000-0000-0000-0000-000000000000}"/>
  <bookViews>
    <workbookView xWindow="-108" yWindow="-108" windowWidth="23256" windowHeight="12456" xr2:uid="{E38A201B-7042-4E68-A22F-90E0349576AF}"/>
  </bookViews>
  <sheets>
    <sheet name="Sheet2" sheetId="4" r:id="rId1"/>
    <sheet name="transactions_day6" sheetId="3" r:id="rId2"/>
    <sheet name="employees_day6" sheetId="2" r:id="rId3"/>
  </sheets>
  <definedNames>
    <definedName name="ExternalData_1" localSheetId="2" hidden="1">employees_day6!$A$1:$C$5</definedName>
    <definedName name="ExternalData_2" localSheetId="1" hidden="1">transactions_day6!$A$1:$E$9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H2" i="3"/>
  <c r="H3" i="3"/>
  <c r="H4" i="3"/>
  <c r="H5" i="3"/>
  <c r="H6" i="3"/>
  <c r="H7" i="3"/>
  <c r="H8" i="3"/>
  <c r="H9" i="3"/>
  <c r="G2" i="3"/>
  <c r="G3" i="3"/>
  <c r="G4" i="3"/>
  <c r="G5" i="3"/>
  <c r="G6" i="3"/>
  <c r="G7" i="3"/>
  <c r="G8" i="3"/>
  <c r="G9" i="3"/>
  <c r="F2" i="3"/>
  <c r="F3" i="3"/>
  <c r="F4" i="3"/>
  <c r="F5" i="3"/>
  <c r="F6" i="3"/>
  <c r="F7" i="3"/>
  <c r="F8" i="3"/>
  <c r="F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tc={9522CB23-9A9C-4845-99ED-246404A976FE}</author>
    <author>tc={C31763D0-6BF1-45EC-AB0E-5141974C6EBD}</author>
  </authors>
  <commentList>
    <comment ref="F1" authorId="0" shapeId="0" xr:uid="{9522CB23-9A9C-4845-99ED-246404A976FE}">
      <text>
        <t>[Threaded comment]
Your version of Excel allows you to read this threaded comment; however, any edits to it will get removed if the file is opened in a newer version of Excel. Learn more: https://go.microsoft.com/fwlink/?linkid=870924
Comment:
    I used the XLOOKUP() on B3 or on each cell at a time so that it wouldn’t give me an error
B3 is the employee ID in your current row, emp_day6!A:A is for where to look for that ID, emp_day6!B:B is for emp_name column you want to bring back</t>
      </text>
    </comment>
    <comment ref="G1" authorId="1" shapeId="0" xr:uid="{C31763D0-6BF1-45EC-AB0E-5141974C6EBD}">
      <text>
        <t>[Threaded comment]
Your version of Excel allows you to read this threaded comment; however, any edits to it will get removed if the file is opened in a newer version of Excel. Learn more: https://go.microsoft.com/fwlink/?linkid=870924
Comment:
    B3 is for the employee ID, emp_day6!A:A is for where to look for that ID, emp_day6!C:C is for the department column you want to bring back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78A411-2EDC-4A7B-B514-F29F1081E35E}" keepAlive="1" name="Query - employees_day6" description="Connection to the 'employees_day6' query in the workbook." type="5" refreshedVersion="8" background="1" saveData="1">
    <dbPr connection="Provider=Microsoft.Mashup.OleDb.1;Data Source=$Workbook$;Location=employees_day6;Extended Properties=&quot;&quot;" command="SELECT * FROM [employees_day6]"/>
  </connection>
  <connection id="2" xr16:uid="{D3ED4239-146A-443F-BE56-95C4A84266F4}" keepAlive="1" name="Query - transactions_day6" description="Connection to the 'transactions_day6' query in the workbook." type="5" refreshedVersion="8" background="1" saveData="1">
    <dbPr connection="Provider=Microsoft.Mashup.OleDb.1;Data Source=$Workbook$;Location=transactions_day6;Extended Properties=&quot;&quot;" command="SELECT * FROM [transactions_day6]"/>
  </connection>
</connections>
</file>

<file path=xl/sharedStrings.xml><?xml version="1.0" encoding="utf-8"?>
<sst xmlns="http://schemas.openxmlformats.org/spreadsheetml/2006/main" count="25" uniqueCount="18">
  <si>
    <t>employee_id</t>
  </si>
  <si>
    <t>employee_name</t>
  </si>
  <si>
    <t>department</t>
  </si>
  <si>
    <t>Thabo</t>
  </si>
  <si>
    <t>Sales</t>
  </si>
  <si>
    <t>Naledi</t>
  </si>
  <si>
    <t>Amara</t>
  </si>
  <si>
    <t>Operations</t>
  </si>
  <si>
    <t>Kabelo</t>
  </si>
  <si>
    <t>transaction_id</t>
  </si>
  <si>
    <t>date</t>
  </si>
  <si>
    <t>units_processed</t>
  </si>
  <si>
    <t>errors_made</t>
  </si>
  <si>
    <t>error_rate</t>
  </si>
  <si>
    <t>efficiency_score</t>
  </si>
  <si>
    <t>Row Labels</t>
  </si>
  <si>
    <t>Grand Total</t>
  </si>
  <si>
    <t>Average of efficiency_score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</si>
</sst>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[exercise_38.xlsx]Sheet2!PivotTable1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Operations</c:v>
                </c:pt>
                <c:pt idx="1">
                  <c:v>Sales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111.25</c:v>
                </c:pt>
                <c:pt idx="1">
                  <c:v>28.333334999999998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C-49DE-B09B-461F1A2EF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720208"/>
        <c:axId val="788724048"/>
      </c:barChart>
      <c:catAx>
        <c:axId val="78872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24048"/>
        <c:crosses val="autoZero"/>
        <c:auto val="1"/>
        <c:lblAlgn val="ctr"/>
        <c:lblOffset val="100"/>
        <c:noMultiLvlLbl val="0"/>
      </c:catAx>
      <c:valAx>
        <c:axId val="7887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72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3</xdr:row>
      <xdr:rowOff>11430</xdr:rowOff>
    </xdr:from>
    <xdr:to>
      <xdr:col>10</xdr:col>
      <xdr:colOff>556260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A4763E-AD2C-C912-736E-7C7975628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tlhogonolo Chauke" id="{C6EE90F7-74EB-4263-B045-CA6B601AABA1}" userId="S::letlhogonolo@velisaafrica.co.za::c179ccf0-60e5-4992-8af6-5159d8c6f2a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OGIZNBUCKS" refreshedDate="46038.943095023147" createdVersion="8" refreshedVersion="8" minRefreshableVersion="3" recordCount="8" xr:uid="{6A2ED7EA-3468-4B2C-BAB7-F041E0066694}">
  <cacheSource type="worksheet">
    <worksheetSource name="transactions_day6"/>
  </cacheSource>
  <cacheFields count="9">
    <cacheField name="transaction_id" numFmtId="0">
      <sharedItems containsSemiMixedTypes="0" containsString="0" containsNumber="1" containsInteger="1" minValue="1001" maxValue="1008"/>
    </cacheField>
    <cacheField name="employee_id" numFmtId="0">
      <sharedItems containsSemiMixedTypes="0" containsString="0" containsNumber="1" containsInteger="1" minValue="1" maxValue="4"/>
    </cacheField>
    <cacheField name="date" numFmtId="14">
      <sharedItems containsSemiMixedTypes="0" containsNonDate="0" containsDate="1" containsString="0" minDate="2024-01-01T00:00:00" maxDate="2024-01-03T00:00:00"/>
    </cacheField>
    <cacheField name="units_processed" numFmtId="0">
      <sharedItems containsSemiMixedTypes="0" containsString="0" containsNumber="1" minValue="90" maxValue="210"/>
    </cacheField>
    <cacheField name="errors_made" numFmtId="0">
      <sharedItems containsSemiMixedTypes="0" containsString="0" containsNumber="1" containsInteger="1" minValue="0" maxValue="5"/>
    </cacheField>
    <cacheField name="employee_name" numFmtId="0">
      <sharedItems/>
    </cacheField>
    <cacheField name="department" numFmtId="0">
      <sharedItems count="2">
        <s v="Sales"/>
        <s v="Operations"/>
      </sharedItems>
    </cacheField>
    <cacheField name="error_rate" numFmtId="0">
      <sharedItems containsSemiMixedTypes="0" containsString="0" containsNumber="1" minValue="0" maxValue="5.5555555555555552E-2"/>
    </cacheField>
    <cacheField name="efficiency_score" numFmtId="0">
      <sharedItems containsSemiMixedTypes="0" containsString="0" containsNumber="1" minValue="15" maxValue="1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01"/>
    <n v="1"/>
    <d v="2024-01-01T00:00:00"/>
    <n v="120"/>
    <n v="2"/>
    <s v="Thabo"/>
    <x v="0"/>
    <n v="1.6666666666666666E-2"/>
    <n v="40"/>
  </r>
  <r>
    <n v="1002"/>
    <n v="2"/>
    <d v="2024-01-01T00:00:00"/>
    <n v="90"/>
    <n v="5"/>
    <s v="Naledi"/>
    <x v="0"/>
    <n v="5.5555555555555552E-2"/>
    <n v="15"/>
  </r>
  <r>
    <n v="1003"/>
    <n v="3"/>
    <d v="2024-01-01T00:00:00"/>
    <n v="200"/>
    <n v="1"/>
    <s v="Amara"/>
    <x v="1"/>
    <n v="5.0000000000000001E-3"/>
    <n v="100"/>
  </r>
  <r>
    <n v="1004"/>
    <n v="4"/>
    <d v="2024-01-01T00:00:00"/>
    <n v="180"/>
    <n v="0"/>
    <s v="Kabelo"/>
    <x v="1"/>
    <n v="0"/>
    <n v="180"/>
  </r>
  <r>
    <n v="1005"/>
    <n v="1"/>
    <d v="2024-01-02T00:00:00"/>
    <n v="140"/>
    <n v="3"/>
    <s v="Thabo"/>
    <x v="0"/>
    <n v="2.1428571428571429E-2"/>
    <n v="35"/>
  </r>
  <r>
    <n v="1006"/>
    <n v="2"/>
    <d v="2024-01-02T00:00:00"/>
    <n v="116.66670000000001"/>
    <n v="4"/>
    <s v="Naledi"/>
    <x v="0"/>
    <n v="3.4285704489798716E-2"/>
    <n v="23.33334"/>
  </r>
  <r>
    <n v="1007"/>
    <n v="3"/>
    <d v="2024-01-02T00:00:00"/>
    <n v="210"/>
    <n v="2"/>
    <s v="Amara"/>
    <x v="1"/>
    <n v="9.5238095238095247E-3"/>
    <n v="70"/>
  </r>
  <r>
    <n v="1008"/>
    <n v="4"/>
    <d v="2024-01-02T00:00:00"/>
    <n v="190"/>
    <n v="1"/>
    <s v="Kabelo"/>
    <x v="1"/>
    <n v="5.263157894736842E-3"/>
    <n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917DB-85F3-40CB-8DB6-582FC78D45A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9">
    <pivotField showAll="0"/>
    <pivotField showAll="0"/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efficiency_score" fld="8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A3F6A27-01BA-4EFA-8886-FBD2C80FBE76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transaction_id" tableColumnId="1"/>
      <queryTableField id="2" name="employee_id" tableColumnId="2"/>
      <queryTableField id="3" name="date" tableColumnId="3"/>
      <queryTableField id="4" name="units_processed" tableColumnId="4"/>
      <queryTableField id="5" name="errors_made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910F2E-728F-451B-B0A8-F99AE82CF4E9}" autoFormatId="16" applyNumberFormats="0" applyBorderFormats="0" applyFontFormats="0" applyPatternFormats="0" applyAlignmentFormats="0" applyWidthHeightFormats="0">
  <queryTableRefresh nextId="4">
    <queryTableFields count="3">
      <queryTableField id="1" name="employee_id" tableColumnId="1"/>
      <queryTableField id="2" name="employee_name" tableColumnId="2"/>
      <queryTableField id="3" name="departm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591669-FCA9-4CCF-A0D7-B2D4D92EB508}" name="transactions_day6" displayName="transactions_day6" ref="A1:I9" tableType="queryTable" totalsRowShown="0">
  <autoFilter ref="A1:I9" xr:uid="{89591669-FCA9-4CCF-A0D7-B2D4D92EB508}"/>
  <tableColumns count="9">
    <tableColumn id="1" xr3:uid="{13DF5F1E-401F-4144-B947-8C53BE860B55}" uniqueName="1" name="transaction_id" queryTableFieldId="1"/>
    <tableColumn id="2" xr3:uid="{A139DDF4-134F-4D2E-9C88-DDAB978DD7A1}" uniqueName="2" name="employee_id" queryTableFieldId="2"/>
    <tableColumn id="3" xr3:uid="{9460BA70-A2A5-47AF-B2BE-9FC71076E050}" uniqueName="3" name="date" queryTableFieldId="3" dataDxfId="6"/>
    <tableColumn id="4" xr3:uid="{5CB3D7DD-A80A-4074-B159-A25C2FA4A0D5}" uniqueName="4" name="units_processed" queryTableFieldId="4"/>
    <tableColumn id="5" xr3:uid="{8C39EF97-99DB-4715-A992-3E37E4E1981C}" uniqueName="5" name="errors_made" queryTableFieldId="5"/>
    <tableColumn id="6" xr3:uid="{A419339B-D16A-45B0-9C22-733216346FAE}" uniqueName="6" name="employee_name" queryTableFieldId="6" dataDxfId="5">
      <calculatedColumnFormula>_xlfn.XLOOKUP(B2, employees_day6!A:A, employees_day6!B:B)</calculatedColumnFormula>
    </tableColumn>
    <tableColumn id="7" xr3:uid="{9B1DA8DB-12B3-4B46-9AEA-FA3BE13FC34F}" uniqueName="7" name="department" queryTableFieldId="7" dataDxfId="4">
      <calculatedColumnFormula>_xlfn.XLOOKUP(B2, employees_day6!A:A, employees_day6!C:C)</calculatedColumnFormula>
    </tableColumn>
    <tableColumn id="8" xr3:uid="{840E8187-3B5D-4F93-B57F-1F1757C45026}" uniqueName="8" name="error_rate" queryTableFieldId="8" dataDxfId="3">
      <calculatedColumnFormula>E2/D2</calculatedColumnFormula>
    </tableColumn>
    <tableColumn id="9" xr3:uid="{138B34B1-2C60-4BEB-84B3-2D0305FCD87D}" uniqueName="9" name="efficiency_score" queryTableFieldId="9" dataDxfId="2">
      <calculatedColumnFormula>D2/(E2+1)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581CD3-7E7F-4233-91D7-DC0BF8D0D97C}" name="employees_day6" displayName="employees_day6" ref="A1:C5" tableType="queryTable" totalsRowShown="0">
  <autoFilter ref="A1:C5" xr:uid="{B6581CD3-7E7F-4233-91D7-DC0BF8D0D97C}"/>
  <tableColumns count="3">
    <tableColumn id="1" xr3:uid="{25863713-A8D0-4826-A585-6FF697B16469}" uniqueName="1" name="employee_id" queryTableFieldId="1"/>
    <tableColumn id="2" xr3:uid="{8901FE0D-F5A9-4271-BB5A-B50FDBA92403}" uniqueName="2" name="employee_name" queryTableFieldId="2" dataDxfId="8"/>
    <tableColumn id="3" xr3:uid="{EB5EC8BD-92FC-4C01-9F19-FE36B5A263DC}" uniqueName="3" name="department" queryTableFieldId="3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1-16T20:13:07.04" personId="{C6EE90F7-74EB-4263-B045-CA6B601AABA1}" id="{9522CB23-9A9C-4845-99ED-246404A976FE}">
    <text>I used the XLOOKUP() on B3 or on each cell at a time so that it wouldn’t give me an error
B3 is the employee ID in your current row, emp_day6!A:A is for where to look for that ID, emp_day6!B:B is for emp_name column you want to bring back</text>
  </threadedComment>
  <threadedComment ref="G1" dT="2026-01-16T20:21:02.55" personId="{C6EE90F7-74EB-4263-B045-CA6B601AABA1}" id="{C31763D0-6BF1-45EC-AB0E-5141974C6EBD}">
    <text>B3 is for the employee ID, emp_day6!A:A is for where to look for that ID, emp_day6!C:C is for the department column you want to bring back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E822-9B1D-4EA4-A98A-3B57591F6DD3}">
  <dimension ref="A3:B6"/>
  <sheetViews>
    <sheetView tabSelected="1" workbookViewId="0">
      <selection activeCell="M20" sqref="M20"/>
    </sheetView>
  </sheetViews>
  <sheetFormatPr defaultRowHeight="14.4" x14ac:dyDescent="0.3"/>
  <cols>
    <col min="1" max="1" width="12.44140625" bestFit="1" customWidth="1"/>
    <col min="2" max="2" width="23.5546875" bestFit="1" customWidth="1"/>
  </cols>
  <sheetData>
    <row r="3" spans="1:2" x14ac:dyDescent="0.3">
      <c r="A3" s="3" t="s">
        <v>15</v>
      </c>
      <c r="B3" t="s">
        <v>17</v>
      </c>
    </row>
    <row r="4" spans="1:2" x14ac:dyDescent="0.3">
      <c r="A4" s="4" t="s">
        <v>7</v>
      </c>
      <c r="B4" s="1">
        <v>111.25</v>
      </c>
    </row>
    <row r="5" spans="1:2" x14ac:dyDescent="0.3">
      <c r="A5" s="4" t="s">
        <v>4</v>
      </c>
      <c r="B5" s="1">
        <v>28.333334999999998</v>
      </c>
    </row>
    <row r="6" spans="1:2" x14ac:dyDescent="0.3">
      <c r="A6" s="4" t="s">
        <v>16</v>
      </c>
      <c r="B6" s="1">
        <v>69.791667500000003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6E8D-4BB0-4FFA-8A31-B2F9B931B36E}">
  <dimension ref="A1:I9"/>
  <sheetViews>
    <sheetView workbookViewId="0">
      <selection sqref="A1:I9"/>
    </sheetView>
  </sheetViews>
  <sheetFormatPr defaultRowHeight="14.4" x14ac:dyDescent="0.3"/>
  <cols>
    <col min="1" max="1" width="15.109375" bestFit="1" customWidth="1"/>
    <col min="2" max="2" width="13.88671875" bestFit="1" customWidth="1"/>
    <col min="3" max="3" width="10.33203125" bestFit="1" customWidth="1"/>
    <col min="4" max="4" width="16.88671875" bestFit="1" customWidth="1"/>
    <col min="5" max="5" width="13.6640625" bestFit="1" customWidth="1"/>
  </cols>
  <sheetData>
    <row r="1" spans="1:9" x14ac:dyDescent="0.3">
      <c r="A1" t="s">
        <v>9</v>
      </c>
      <c r="B1" t="s">
        <v>0</v>
      </c>
      <c r="C1" t="s">
        <v>10</v>
      </c>
      <c r="D1" t="s">
        <v>11</v>
      </c>
      <c r="E1" t="s">
        <v>12</v>
      </c>
      <c r="F1" t="s">
        <v>1</v>
      </c>
      <c r="G1" t="s">
        <v>2</v>
      </c>
      <c r="H1" t="s">
        <v>13</v>
      </c>
      <c r="I1" t="s">
        <v>14</v>
      </c>
    </row>
    <row r="2" spans="1:9" x14ac:dyDescent="0.3">
      <c r="A2">
        <v>1001</v>
      </c>
      <c r="B2">
        <v>1</v>
      </c>
      <c r="C2" s="2">
        <v>45292</v>
      </c>
      <c r="D2">
        <v>120</v>
      </c>
      <c r="E2">
        <v>2</v>
      </c>
      <c r="F2" t="str">
        <f>_xlfn.XLOOKUP(B2, employees_day6!A:A, employees_day6!B:B)</f>
        <v>Thabo</v>
      </c>
      <c r="G2" t="str">
        <f>_xlfn.XLOOKUP(B2, employees_day6!A:A, employees_day6!C:C)</f>
        <v>Sales</v>
      </c>
      <c r="H2">
        <f t="shared" ref="H2:H9" si="0">E2/D2</f>
        <v>1.6666666666666666E-2</v>
      </c>
      <c r="I2" s="1">
        <f t="shared" ref="I2:I9" si="1">D2/(E2+1)</f>
        <v>40</v>
      </c>
    </row>
    <row r="3" spans="1:9" x14ac:dyDescent="0.3">
      <c r="A3">
        <v>1002</v>
      </c>
      <c r="B3">
        <v>2</v>
      </c>
      <c r="C3" s="2">
        <v>45292</v>
      </c>
      <c r="D3">
        <v>90</v>
      </c>
      <c r="E3">
        <v>5</v>
      </c>
      <c r="F3" t="str">
        <f>_xlfn.XLOOKUP(B3, employees_day6!A:A, employees_day6!B:B)</f>
        <v>Naledi</v>
      </c>
      <c r="G3" t="str">
        <f>_xlfn.XLOOKUP(B3, employees_day6!A:A, employees_day6!C:C)</f>
        <v>Sales</v>
      </c>
      <c r="H3">
        <f t="shared" si="0"/>
        <v>5.5555555555555552E-2</v>
      </c>
      <c r="I3" s="1">
        <f t="shared" si="1"/>
        <v>15</v>
      </c>
    </row>
    <row r="4" spans="1:9" x14ac:dyDescent="0.3">
      <c r="A4">
        <v>1003</v>
      </c>
      <c r="B4">
        <v>3</v>
      </c>
      <c r="C4" s="2">
        <v>45292</v>
      </c>
      <c r="D4">
        <v>200</v>
      </c>
      <c r="E4">
        <v>1</v>
      </c>
      <c r="F4" t="str">
        <f>_xlfn.XLOOKUP(B4, employees_day6!A:A, employees_day6!B:B)</f>
        <v>Amara</v>
      </c>
      <c r="G4" t="str">
        <f>_xlfn.XLOOKUP(B4, employees_day6!A:A, employees_day6!C:C)</f>
        <v>Operations</v>
      </c>
      <c r="H4">
        <f t="shared" si="0"/>
        <v>5.0000000000000001E-3</v>
      </c>
      <c r="I4" s="1">
        <f t="shared" si="1"/>
        <v>100</v>
      </c>
    </row>
    <row r="5" spans="1:9" x14ac:dyDescent="0.3">
      <c r="A5">
        <v>1004</v>
      </c>
      <c r="B5">
        <v>4</v>
      </c>
      <c r="C5" s="2">
        <v>45292</v>
      </c>
      <c r="D5">
        <v>180</v>
      </c>
      <c r="E5">
        <v>0</v>
      </c>
      <c r="F5" t="str">
        <f>_xlfn.XLOOKUP(B5, employees_day6!A:A, employees_day6!B:B)</f>
        <v>Kabelo</v>
      </c>
      <c r="G5" t="str">
        <f>_xlfn.XLOOKUP(B5, employees_day6!A:A, employees_day6!C:C)</f>
        <v>Operations</v>
      </c>
      <c r="H5">
        <f t="shared" si="0"/>
        <v>0</v>
      </c>
      <c r="I5" s="1">
        <f t="shared" si="1"/>
        <v>180</v>
      </c>
    </row>
    <row r="6" spans="1:9" x14ac:dyDescent="0.3">
      <c r="A6">
        <v>1005</v>
      </c>
      <c r="B6">
        <v>1</v>
      </c>
      <c r="C6" s="2">
        <v>45293</v>
      </c>
      <c r="D6">
        <v>140</v>
      </c>
      <c r="E6">
        <v>3</v>
      </c>
      <c r="F6" t="str">
        <f>_xlfn.XLOOKUP(B6, employees_day6!A:A, employees_day6!B:B)</f>
        <v>Thabo</v>
      </c>
      <c r="G6" t="str">
        <f>_xlfn.XLOOKUP(B6, employees_day6!A:A, employees_day6!C:C)</f>
        <v>Sales</v>
      </c>
      <c r="H6">
        <f t="shared" si="0"/>
        <v>2.1428571428571429E-2</v>
      </c>
      <c r="I6" s="1">
        <f t="shared" si="1"/>
        <v>35</v>
      </c>
    </row>
    <row r="7" spans="1:9" x14ac:dyDescent="0.3">
      <c r="A7">
        <v>1006</v>
      </c>
      <c r="B7">
        <v>2</v>
      </c>
      <c r="C7" s="2">
        <v>45293</v>
      </c>
      <c r="D7">
        <v>116.66670000000001</v>
      </c>
      <c r="E7">
        <v>4</v>
      </c>
      <c r="F7" t="str">
        <f>_xlfn.XLOOKUP(B7, employees_day6!A:A, employees_day6!B:B)</f>
        <v>Naledi</v>
      </c>
      <c r="G7" t="str">
        <f>_xlfn.XLOOKUP(B7, employees_day6!A:A, employees_day6!C:C)</f>
        <v>Sales</v>
      </c>
      <c r="H7">
        <f t="shared" si="0"/>
        <v>3.4285704489798716E-2</v>
      </c>
      <c r="I7" s="1">
        <f t="shared" si="1"/>
        <v>23.33334</v>
      </c>
    </row>
    <row r="8" spans="1:9" x14ac:dyDescent="0.3">
      <c r="A8">
        <v>1007</v>
      </c>
      <c r="B8">
        <v>3</v>
      </c>
      <c r="C8" s="2">
        <v>45293</v>
      </c>
      <c r="D8">
        <v>210</v>
      </c>
      <c r="E8">
        <v>2</v>
      </c>
      <c r="F8" t="str">
        <f>_xlfn.XLOOKUP(B8, employees_day6!A:A, employees_day6!B:B)</f>
        <v>Amara</v>
      </c>
      <c r="G8" t="str">
        <f>_xlfn.XLOOKUP(B8, employees_day6!A:A, employees_day6!C:C)</f>
        <v>Operations</v>
      </c>
      <c r="H8">
        <f t="shared" si="0"/>
        <v>9.5238095238095247E-3</v>
      </c>
      <c r="I8" s="1">
        <f t="shared" si="1"/>
        <v>70</v>
      </c>
    </row>
    <row r="9" spans="1:9" x14ac:dyDescent="0.3">
      <c r="A9">
        <v>1008</v>
      </c>
      <c r="B9">
        <v>4</v>
      </c>
      <c r="C9" s="2">
        <v>45293</v>
      </c>
      <c r="D9">
        <v>190</v>
      </c>
      <c r="E9">
        <v>1</v>
      </c>
      <c r="F9" t="str">
        <f>_xlfn.XLOOKUP(B9, employees_day6!A:A, employees_day6!B:B)</f>
        <v>Kabelo</v>
      </c>
      <c r="G9" t="str">
        <f>_xlfn.XLOOKUP(B9, employees_day6!A:A, employees_day6!C:C)</f>
        <v>Operations</v>
      </c>
      <c r="H9">
        <f t="shared" si="0"/>
        <v>5.263157894736842E-3</v>
      </c>
      <c r="I9" s="1">
        <f t="shared" si="1"/>
        <v>95</v>
      </c>
    </row>
  </sheetData>
  <conditionalFormatting sqref="H1:H9">
    <cfRule type="cellIs" dxfId="0" priority="1" operator="greaterThan">
      <formula>0.03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B332-4765-457C-93C9-72B25539610A}">
  <dimension ref="A1:C5"/>
  <sheetViews>
    <sheetView workbookViewId="0">
      <selection activeCell="B28" sqref="B28"/>
    </sheetView>
  </sheetViews>
  <sheetFormatPr defaultRowHeight="14.4" x14ac:dyDescent="0.3"/>
  <cols>
    <col min="1" max="1" width="13.88671875" bestFit="1" customWidth="1"/>
    <col min="2" max="2" width="17" bestFit="1" customWidth="1"/>
    <col min="3" max="3" width="13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4</v>
      </c>
    </row>
    <row r="3" spans="1:3" x14ac:dyDescent="0.3">
      <c r="A3">
        <v>2</v>
      </c>
      <c r="B3" s="1" t="s">
        <v>5</v>
      </c>
      <c r="C3" s="1" t="s">
        <v>4</v>
      </c>
    </row>
    <row r="4" spans="1:3" x14ac:dyDescent="0.3">
      <c r="A4">
        <v>3</v>
      </c>
      <c r="B4" s="1" t="s">
        <v>6</v>
      </c>
      <c r="C4" s="1" t="s">
        <v>7</v>
      </c>
    </row>
    <row r="5" spans="1:3" x14ac:dyDescent="0.3">
      <c r="A5">
        <v>4</v>
      </c>
      <c r="B5" s="1" t="s">
        <v>8</v>
      </c>
      <c r="C5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2D9367-2983-4047-BB3B-130F16DCD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transactions_day6</vt:lpstr>
      <vt:lpstr>employees_day6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Letlhogonolo Chauke</dc:creator>
  <cp:lastModifiedBy>Letlhogonolo Chauke</cp:lastModifiedBy>
  <dcterms:created xsi:type="dcterms:W3CDTF">2026-01-16T19:48:13Z</dcterms:created>
  <dcterms:modified xsi:type="dcterms:W3CDTF">2026-01-16T20:40:13Z</dcterms:modified>
</cp:coreProperties>
</file>