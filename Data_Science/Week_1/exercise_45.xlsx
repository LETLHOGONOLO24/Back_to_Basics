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OGIZNBUCKS\Downloads\Back_to_Basics\Data_Science\Week_1\"/>
    </mc:Choice>
  </mc:AlternateContent>
  <xr:revisionPtr revIDLastSave="0" documentId="8_{AD130AB4-092C-43E6-97C2-0E34830B6089}" xr6:coauthVersionLast="47" xr6:coauthVersionMax="47" xr10:uidLastSave="{00000000-0000-0000-0000-000000000000}"/>
  <bookViews>
    <workbookView xWindow="-108" yWindow="-108" windowWidth="23256" windowHeight="12456" xr2:uid="{DC94F1C5-0091-44E9-A405-59D52A2D09F1}"/>
  </bookViews>
  <sheets>
    <sheet name="performance_day7" sheetId="2" r:id="rId1"/>
    <sheet name="Sheet1" sheetId="1" r:id="rId2"/>
  </sheets>
  <definedNames>
    <definedName name="ExternalData_1" localSheetId="0" hidden="1">performance_day7!$A$1:$E$7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H2" i="2"/>
  <c r="F2" i="2"/>
  <c r="I2" i="2" s="1"/>
  <c r="F3" i="2"/>
  <c r="F4" i="2"/>
  <c r="F5" i="2"/>
  <c r="F6" i="2"/>
  <c r="F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653A21-9A5A-489B-8039-B4EB1E42AB9C}" keepAlive="1" name="Query - performance_day7" description="Connection to the 'performance_day7' query in the workbook." type="5" refreshedVersion="8" background="1" saveData="1">
    <dbPr connection="Provider=Microsoft.Mashup.OleDb.1;Data Source=$Workbook$;Location=performance_day7;Extended Properties=&quot;&quot;" command="SELECT * FROM [performance_day7]"/>
  </connection>
</connections>
</file>

<file path=xl/sharedStrings.xml><?xml version="1.0" encoding="utf-8"?>
<sst xmlns="http://schemas.openxmlformats.org/spreadsheetml/2006/main" count="19" uniqueCount="15">
  <si>
    <t>employee_id</t>
  </si>
  <si>
    <t>employee_name</t>
  </si>
  <si>
    <t>department</t>
  </si>
  <si>
    <t>units_processed</t>
  </si>
  <si>
    <t>errors_made</t>
  </si>
  <si>
    <t>Thabo</t>
  </si>
  <si>
    <t>Sales</t>
  </si>
  <si>
    <t>Naledi</t>
  </si>
  <si>
    <t>Amara</t>
  </si>
  <si>
    <t>Operations</t>
  </si>
  <si>
    <t>Kabelo</t>
  </si>
  <si>
    <t>Lerato</t>
  </si>
  <si>
    <t>Sipho</t>
  </si>
  <si>
    <t>efficiency_score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</si>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</sst>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7">
    <dxf>
      <font>
        <color rgb="FF00B050"/>
      </font>
    </dxf>
    <dxf>
      <font>
        <color rgb="FFFF0000"/>
      </font>
    </dxf>
    <dxf>
      <font>
        <color rgb="FF00B05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942475940507438E-2"/>
          <c:y val="0.15319444444444447"/>
          <c:w val="0.84039085739282593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performance_day7!$F$1</c:f>
              <c:strCache>
                <c:ptCount val="1"/>
                <c:pt idx="0">
                  <c:v>efficiency_score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performance_day7!$B$2:$B$7</c:f>
              <c:strCache>
                <c:ptCount val="6"/>
                <c:pt idx="0">
                  <c:v>Thabo</c:v>
                </c:pt>
                <c:pt idx="1">
                  <c:v>Naledi</c:v>
                </c:pt>
                <c:pt idx="2">
                  <c:v>Amara</c:v>
                </c:pt>
                <c:pt idx="3">
                  <c:v>Kabelo</c:v>
                </c:pt>
                <c:pt idx="4">
                  <c:v>Lerato</c:v>
                </c:pt>
                <c:pt idx="5">
                  <c:v>Sipho</c:v>
                </c:pt>
              </c:strCache>
            </c:strRef>
          </c:cat>
          <c:val>
            <c:numRef>
              <c:f>performance_day7!$F$2:$F$7</c:f>
              <c:numCache>
                <c:formatCode>General</c:formatCode>
                <c:ptCount val="6"/>
                <c:pt idx="0">
                  <c:v>43.333333333333336</c:v>
                </c:pt>
                <c:pt idx="1">
                  <c:v>23</c:v>
                </c:pt>
                <c:pt idx="2">
                  <c:v>102.5</c:v>
                </c:pt>
                <c:pt idx="3">
                  <c:v>123.33333333333333</c:v>
                </c:pt>
                <c:pt idx="4">
                  <c:v>56</c:v>
                </c:pt>
                <c:pt idx="5">
                  <c:v>55.714285714285715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B-4A7B-9A9E-5318C518C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3689104"/>
        <c:axId val="613697744"/>
      </c:barChart>
      <c:catAx>
        <c:axId val="61368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97744"/>
        <c:crosses val="autoZero"/>
        <c:auto val="1"/>
        <c:lblAlgn val="ctr"/>
        <c:lblOffset val="100"/>
        <c:noMultiLvlLbl val="0"/>
      </c:catAx>
      <c:valAx>
        <c:axId val="61369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8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430530</xdr:colOff>
      <xdr:row>9</xdr:row>
      <xdr:rowOff>34290</xdr:rowOff>
    </xdr:from>
    <xdr:to>
      <xdr:col>13</xdr:col>
      <xdr:colOff>125730</xdr:colOff>
      <xdr:row>24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8217B7-1F4A-4A9D-45F8-DF4ED210E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23487A-1C04-4904-9A91-EE236B1ECB8C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employee_id" tableColumnId="1"/>
      <queryTableField id="2" name="employee_name" tableColumnId="2"/>
      <queryTableField id="3" name="department" tableColumnId="3"/>
      <queryTableField id="4" name="units_processed" tableColumnId="4"/>
      <queryTableField id="5" name="errors_made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10C54-8122-4DB1-B043-DA2ED95045DF}" name="performance_day7" displayName="performance_day7" ref="A1:G7" tableType="queryTable" totalsRowShown="0">
  <autoFilter ref="A1:G7" xr:uid="{F2410C54-8122-4DB1-B043-DA2ED95045DF}"/>
  <tableColumns count="7">
    <tableColumn id="1" xr3:uid="{01A26627-6124-4E69-ACD6-B7C8455128AB}" uniqueName="1" name="employee_id" queryTableFieldId="1"/>
    <tableColumn id="2" xr3:uid="{03EF0BC6-9063-4EAF-B479-2C056F196637}" uniqueName="2" name="employee_name" queryTableFieldId="2" dataDxfId="6"/>
    <tableColumn id="3" xr3:uid="{9406C3F8-2F55-47DC-8949-81AC2B053085}" uniqueName="3" name="department" queryTableFieldId="3" dataDxfId="5"/>
    <tableColumn id="4" xr3:uid="{6555D58B-7650-49FC-87F4-5F149C5456C8}" uniqueName="4" name="units_processed" queryTableFieldId="4"/>
    <tableColumn id="5" xr3:uid="{01F7DCE7-A268-4A87-AB56-4A3FABEF45F6}" uniqueName="5" name="errors_made" queryTableFieldId="5"/>
    <tableColumn id="6" xr3:uid="{B6F95EC1-A4B3-4650-BA8B-809B4693260C}" uniqueName="6" name="efficiency_score" queryTableFieldId="6" dataDxfId="4">
      <calculatedColumnFormula>D2 / (E2 + 1)</calculatedColumnFormula>
    </tableColumn>
    <tableColumn id="7" xr3:uid="{26FE6226-E829-4BD4-9C84-9502A7EB2B27}" uniqueName="7" name="rank" queryTableFieldId="7" dataDxfId="3">
      <calculatedColumnFormula>_xlfn.RANK.EQ(F2, $F$2:$F$7)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D854-BE96-4DC6-AD10-A10ED822F0E6}">
  <dimension ref="A1:I7"/>
  <sheetViews>
    <sheetView tabSelected="1" workbookViewId="0">
      <selection activeCell="H2" sqref="H2"/>
    </sheetView>
  </sheetViews>
  <sheetFormatPr defaultRowHeight="14.4" x14ac:dyDescent="0.3"/>
  <cols>
    <col min="1" max="1" width="13.88671875" bestFit="1" customWidth="1"/>
    <col min="2" max="2" width="17" bestFit="1" customWidth="1"/>
    <col min="3" max="3" width="13.109375" bestFit="1" customWidth="1"/>
    <col min="4" max="4" width="16.88671875" bestFit="1" customWidth="1"/>
    <col min="5" max="5" width="13.6640625" bestFit="1" customWidth="1"/>
  </cols>
  <sheetData>
    <row r="1" spans="1:9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13</v>
      </c>
      <c r="G1" t="s">
        <v>14</v>
      </c>
    </row>
    <row r="2" spans="1:9" x14ac:dyDescent="0.3">
      <c r="A2">
        <v>1</v>
      </c>
      <c r="B2" s="1" t="s">
        <v>5</v>
      </c>
      <c r="C2" s="1" t="s">
        <v>6</v>
      </c>
      <c r="D2">
        <v>260</v>
      </c>
      <c r="E2">
        <v>5</v>
      </c>
      <c r="F2">
        <f t="shared" ref="F2:F7" si="0">D2 / (E2 + 1)</f>
        <v>43.333333333333336</v>
      </c>
      <c r="G2" s="1">
        <f t="shared" ref="G2:G7" si="1">_xlfn.RANK.EQ(F2, $F$2:$F$7)</f>
        <v>5</v>
      </c>
      <c r="H2">
        <f>_xlfn.PERCENTILE.INC(performance_day7[efficiency_score], 0.75)</f>
        <v>90.875</v>
      </c>
      <c r="I2">
        <f>_xlfn.PERCENTILE.INC(F:F, 0.25)</f>
        <v>46.428571428571431</v>
      </c>
    </row>
    <row r="3" spans="1:9" x14ac:dyDescent="0.3">
      <c r="A3">
        <v>2</v>
      </c>
      <c r="B3" s="1" t="s">
        <v>7</v>
      </c>
      <c r="C3" s="1" t="s">
        <v>6</v>
      </c>
      <c r="D3">
        <v>230</v>
      </c>
      <c r="E3">
        <v>9</v>
      </c>
      <c r="F3">
        <f t="shared" si="0"/>
        <v>23</v>
      </c>
      <c r="G3" s="1">
        <f t="shared" si="1"/>
        <v>6</v>
      </c>
    </row>
    <row r="4" spans="1:9" x14ac:dyDescent="0.3">
      <c r="A4">
        <v>3</v>
      </c>
      <c r="B4" s="1" t="s">
        <v>8</v>
      </c>
      <c r="C4" s="1" t="s">
        <v>9</v>
      </c>
      <c r="D4">
        <v>410</v>
      </c>
      <c r="E4">
        <v>3</v>
      </c>
      <c r="F4">
        <f t="shared" si="0"/>
        <v>102.5</v>
      </c>
      <c r="G4" s="1">
        <f t="shared" si="1"/>
        <v>2</v>
      </c>
    </row>
    <row r="5" spans="1:9" x14ac:dyDescent="0.3">
      <c r="A5">
        <v>4</v>
      </c>
      <c r="B5" s="1" t="s">
        <v>10</v>
      </c>
      <c r="C5" s="1" t="s">
        <v>9</v>
      </c>
      <c r="D5">
        <v>370</v>
      </c>
      <c r="E5">
        <v>2</v>
      </c>
      <c r="F5">
        <f t="shared" si="0"/>
        <v>123.33333333333333</v>
      </c>
      <c r="G5" s="1">
        <f t="shared" si="1"/>
        <v>1</v>
      </c>
    </row>
    <row r="6" spans="1:9" x14ac:dyDescent="0.3">
      <c r="A6">
        <v>5</v>
      </c>
      <c r="B6" s="1" t="s">
        <v>11</v>
      </c>
      <c r="C6" s="1" t="s">
        <v>6</v>
      </c>
      <c r="D6">
        <v>280</v>
      </c>
      <c r="E6">
        <v>4</v>
      </c>
      <c r="F6">
        <f t="shared" si="0"/>
        <v>56</v>
      </c>
      <c r="G6" s="1">
        <f t="shared" si="1"/>
        <v>3</v>
      </c>
    </row>
    <row r="7" spans="1:9" x14ac:dyDescent="0.3">
      <c r="A7">
        <v>6</v>
      </c>
      <c r="B7" s="1" t="s">
        <v>12</v>
      </c>
      <c r="C7" s="1" t="s">
        <v>9</v>
      </c>
      <c r="D7">
        <v>390</v>
      </c>
      <c r="E7">
        <v>6</v>
      </c>
      <c r="F7">
        <f t="shared" si="0"/>
        <v>55.714285714285715</v>
      </c>
      <c r="G7" s="1">
        <f t="shared" si="1"/>
        <v>4</v>
      </c>
    </row>
  </sheetData>
  <conditionalFormatting sqref="F2:F7">
    <cfRule type="expression" dxfId="2" priority="2">
      <formula>F2 &gt;=$H$2</formula>
    </cfRule>
    <cfRule type="expression" dxfId="1" priority="1">
      <formula>F2 &lt;= $I$2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54AC-A7B6-4314-97FE-4CF9887D79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622C0-4009-4540-BD00-1CF1D6916E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performance_day7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Letlhogonolo Chauke</dc:creator>
  <cp:lastModifiedBy>Letlhogonolo Chauke</cp:lastModifiedBy>
  <dcterms:created xsi:type="dcterms:W3CDTF">2026-01-20T17:02:04Z</dcterms:created>
  <dcterms:modified xsi:type="dcterms:W3CDTF">2026-01-20T17:37:38Z</dcterms:modified>
</cp:coreProperties>
</file>